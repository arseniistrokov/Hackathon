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Team Scorecard" sheetId="2" state="visible" r:id="rId2"/>
    <sheet name="Criteria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6">
    <font>
      <name val="Calibri"/>
      <color theme="1"/>
      <sz val="11"/>
      <scheme val="minor"/>
    </font>
    <font>
      <name val="Arial"/>
      <b val="1"/>
      <color rgb="FFFFFFFF"/>
      <sz val="15"/>
    </font>
    <font/>
    <font>
      <name val="Arial"/>
      <b val="1"/>
      <color rgb="FFFFFFFF"/>
      <sz val="16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i val="1"/>
      <color rgb="FF595959"/>
      <sz val="10"/>
    </font>
    <font>
      <name val="Arial"/>
      <b val="1"/>
      <color rgb="FF1F3864"/>
      <sz val="12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375623"/>
      <sz val="11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1F4E79"/>
      <sz val="11"/>
    </font>
    <font>
      <name val="Arial"/>
      <b val="1"/>
      <color rgb="FF4A3564"/>
      <sz val="11"/>
    </font>
    <font>
      <name val="Arial"/>
      <color rgb="FF595959"/>
      <sz val="8"/>
    </font>
    <font>
      <name val="Arial"/>
      <b val="1"/>
      <color rgb="FF833C00"/>
      <sz val="11"/>
    </font>
    <font>
      <name val="Arial"/>
      <b val="1"/>
      <color rgb="FF7F6000"/>
      <sz val="11"/>
    </font>
    <font>
      <name val="Arial"/>
      <b val="1"/>
      <color rgb="FFFFFFFF"/>
      <sz val="12"/>
    </font>
    <font>
      <name val="Arial"/>
      <b val="1"/>
      <color rgb="FF375623"/>
      <sz val="10"/>
    </font>
    <font>
      <name val="Arial"/>
      <b val="1"/>
      <color rgb="FF1F4E79"/>
      <sz val="10"/>
    </font>
    <font>
      <name val="Arial"/>
      <b val="1"/>
      <color rgb="FF4A3564"/>
      <sz val="10"/>
    </font>
    <font>
      <name val="Arial"/>
      <b val="1"/>
      <color rgb="FF833C00"/>
      <sz val="10"/>
    </font>
    <font>
      <name val="Arial"/>
      <b val="1"/>
      <color rgb="FF7F6000"/>
      <sz val="10"/>
    </font>
    <font>
      <name val="Arial"/>
      <b val="1"/>
      <color rgb="FF000000"/>
      <sz val="11"/>
    </font>
    <font>
      <name val="Arial"/>
      <b val="1"/>
      <color rgb="FF000000"/>
      <sz val="12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FFFDE7"/>
        <bgColor rgb="FFFFFDE7"/>
      </patternFill>
    </fill>
    <fill>
      <patternFill patternType="solid">
        <fgColor rgb="FFBDD7EE"/>
        <bgColor rgb="FFBDD7EE"/>
      </patternFill>
    </fill>
    <fill>
      <patternFill patternType="solid">
        <fgColor rgb="FFD9D2E9"/>
        <bgColor rgb="FFD9D2E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3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2" fontId="8" fillId="0" borderId="3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0" fontId="20" fillId="6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2" fontId="25" fillId="10" borderId="3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164" fontId="9" fillId="5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4" min="1" max="1"/>
    <col width="16" customWidth="1" style="44" min="2" max="2"/>
    <col width="20" customWidth="1" style="44" min="3" max="6"/>
    <col width="8.710000000000001" customWidth="1" style="44" min="7" max="26"/>
  </cols>
  <sheetData>
    <row r="1" ht="30" customHeight="1" s="44">
      <c r="A1" s="3" t="inlineStr">
        <is>
          <t>EU Alignment Scorecard - DeepTech GigaHack 2026</t>
        </is>
      </c>
      <c r="B1" s="45" t="n"/>
      <c r="C1" s="45" t="n"/>
      <c r="D1" s="45" t="n"/>
      <c r="E1" s="45" t="n"/>
      <c r="F1" s="45" t="n"/>
    </row>
    <row r="2" ht="15" customHeight="1" s="44">
      <c r="A2" s="6" t="n"/>
    </row>
    <row r="4" ht="15" customHeight="1" s="44">
      <c r="A4" s="7" t="inlineStr">
        <is>
          <t>Purpose</t>
        </is>
      </c>
    </row>
    <row r="5" ht="15" customHeight="1" s="44">
      <c r="A5" s="9" t="inlineStr">
        <is>
          <t>The scorecard ensures EU principles are systematically integrated into every prototype built at the hackathon. It is completed jointly by each team and their mentor.</t>
        </is>
      </c>
    </row>
    <row r="6" ht="18" customHeight="1" s="44"/>
    <row r="8" ht="15" customHeight="1" s="44">
      <c r="A8" s="7" t="inlineStr">
        <is>
          <t>Workflow</t>
        </is>
      </c>
    </row>
    <row r="9" ht="25.5" customHeight="1" s="44">
      <c r="A9" s="9" t="inlineStr">
        <is>
          <t>1.  Mid-hackathon mentoring session: mentor + team complete the Team Scorecard together (20-30 min). Use the Criteria Guide for prompts and calibration.</t>
        </is>
      </c>
    </row>
    <row r="10" ht="25.5" customHeight="1" s="44">
      <c r="A10" s="9" t="inlineStr">
        <is>
          <t>2.  Score each of the 21 criteria 0-4. Use N/A only where allowed (B2 when no AI).</t>
        </is>
      </c>
    </row>
    <row r="11" ht="25.5" customHeight="1" s="44">
      <c r="A11" s="9" t="n"/>
    </row>
    <row r="13" ht="15" customHeight="1" s="44">
      <c r="A13" s="7" t="inlineStr">
        <is>
          <t>Scoring scale (same for all 21 criteria)</t>
        </is>
      </c>
    </row>
    <row r="14" ht="15" customHeight="1" s="44">
      <c r="A14" s="14" t="inlineStr">
        <is>
          <t>Score</t>
        </is>
      </c>
      <c r="B14" s="17" t="inlineStr">
        <is>
          <t>Label</t>
        </is>
      </c>
      <c r="C14" s="19" t="inlineStr">
        <is>
          <t>Meaning</t>
        </is>
      </c>
      <c r="D14" s="45" t="n"/>
      <c r="E14" s="45" t="n"/>
      <c r="F14" s="45" t="n"/>
    </row>
    <row r="15" ht="25.5" customHeight="1" s="44">
      <c r="A15" s="20" t="inlineStr">
        <is>
          <t>0</t>
        </is>
      </c>
      <c r="B15" s="15" t="inlineStr">
        <is>
          <t>Not considered</t>
        </is>
      </c>
      <c r="C15" s="22" t="inlineStr">
        <is>
          <t>The topic has not come up in the team’s thinking or prototype.</t>
        </is>
      </c>
      <c r="D15" s="45" t="n"/>
      <c r="E15" s="45" t="n"/>
      <c r="F15" s="45" t="n"/>
    </row>
    <row r="16" ht="25.5" customHeight="1" s="44">
      <c r="A16" s="20" t="inlineStr">
        <is>
          <t>1</t>
        </is>
      </c>
      <c r="B16" s="15" t="inlineStr">
        <is>
          <t>Aware</t>
        </is>
      </c>
      <c r="C16" s="22" t="inlineStr">
        <is>
          <t>The team can name the issue or framework, but nothing is applied yet.</t>
        </is>
      </c>
      <c r="D16" s="45" t="n"/>
      <c r="E16" s="45" t="n"/>
      <c r="F16" s="45" t="n"/>
    </row>
    <row r="17" ht="25.5" customHeight="1" s="44">
      <c r="A17" s="20" t="inlineStr">
        <is>
          <t>2</t>
        </is>
      </c>
      <c r="B17" s="15" t="inlineStr">
        <is>
          <t>Considered</t>
        </is>
      </c>
      <c r="C17" s="22" t="inlineStr">
        <is>
          <t>Discussed within the team and partially reflected in the prototype or plan.</t>
        </is>
      </c>
      <c r="D17" s="45" t="n"/>
      <c r="E17" s="45" t="n"/>
      <c r="F17" s="45" t="n"/>
    </row>
    <row r="18" ht="25.5" customHeight="1" s="44">
      <c r="A18" s="20" t="inlineStr">
        <is>
          <t>3</t>
        </is>
      </c>
      <c r="B18" s="15" t="inlineStr">
        <is>
          <t>Integrated</t>
        </is>
      </c>
      <c r="C18" s="22" t="inlineStr">
        <is>
          <t>Clearly built into the prototype and/or business plan through concrete design choices.</t>
        </is>
      </c>
      <c r="D18" s="45" t="n"/>
      <c r="E18" s="45" t="n"/>
      <c r="F18" s="45" t="n"/>
    </row>
    <row r="19" ht="25.5" customHeight="1" s="44">
      <c r="A19" s="20" t="inlineStr">
        <is>
          <t>4</t>
        </is>
      </c>
      <c r="B19" s="15" t="inlineStr">
        <is>
          <t>Evidenced</t>
        </is>
      </c>
      <c r="C19" s="22" t="inlineStr">
        <is>
          <t>Integrated AND supported by evidence (data, user input, expert check) - defensible in front of a jury or investor.</t>
        </is>
      </c>
      <c r="D19" s="45" t="n"/>
      <c r="E19" s="45" t="n"/>
      <c r="F19" s="45" t="n"/>
    </row>
    <row r="20" ht="25.5" customHeight="1" s="44">
      <c r="A20" s="20" t="inlineStr">
        <is>
          <t>N/A</t>
        </is>
      </c>
      <c r="B20" s="15" t="inlineStr">
        <is>
          <t>Not applicable</t>
        </is>
      </c>
      <c r="C20" s="22" t="inlineStr">
        <is>
          <t>Use only where explicitly allowed (e.g. B2 when no AI is used). Excluded from averages.</t>
        </is>
      </c>
      <c r="D20" s="45" t="n"/>
      <c r="E20" s="45" t="n"/>
      <c r="F20" s="45" t="n"/>
    </row>
    <row r="21" ht="15.75" customHeight="1" s="44"/>
    <row r="22" ht="15" customHeight="1" s="44">
      <c r="A22" s="7" t="inlineStr">
        <is>
          <t>Alignment bands (EU Alignment Index, 0-4)</t>
        </is>
      </c>
    </row>
    <row r="23" ht="15" customHeight="1" s="44">
      <c r="A23" s="14" t="inlineStr">
        <is>
          <t>Index</t>
        </is>
      </c>
      <c r="B23" s="17" t="inlineStr">
        <is>
          <t>Band</t>
        </is>
      </c>
      <c r="C23" s="19" t="inlineStr">
        <is>
          <t>Interpretation</t>
        </is>
      </c>
      <c r="D23" s="45" t="n"/>
      <c r="E23" s="45" t="n"/>
      <c r="F23" s="45" t="n"/>
    </row>
    <row r="24" ht="25.5" customHeight="1" s="44">
      <c r="A24" s="29" t="inlineStr">
        <is>
          <t>0.0 - 0.9</t>
        </is>
      </c>
      <c r="B24" s="15" t="inlineStr">
        <is>
          <t>Early awareness</t>
        </is>
      </c>
      <c r="C24" s="22" t="inlineStr">
        <is>
          <t>EU dimensions largely unexplored - mentor should prioritise them in remaining sessions.</t>
        </is>
      </c>
      <c r="D24" s="45" t="n"/>
      <c r="E24" s="45" t="n"/>
      <c r="F24" s="45" t="n"/>
    </row>
    <row r="25" ht="25.5" customHeight="1" s="44">
      <c r="A25" s="29" t="inlineStr">
        <is>
          <t>1.0 - 1.9</t>
        </is>
      </c>
      <c r="B25" s="15" t="inlineStr">
        <is>
          <t>Emerging alignment</t>
        </is>
      </c>
      <c r="C25" s="22" t="inlineStr">
        <is>
          <t>Awareness exists; integration into the prototype has started but is thin.</t>
        </is>
      </c>
      <c r="D25" s="45" t="n"/>
      <c r="E25" s="45" t="n"/>
      <c r="F25" s="45" t="n"/>
    </row>
    <row r="26" ht="25.5" customHeight="1" s="44">
      <c r="A26" s="29" t="inlineStr">
        <is>
          <t>2.0 - 2.9</t>
        </is>
      </c>
      <c r="B26" s="15" t="inlineStr">
        <is>
          <t>Aligned</t>
        </is>
      </c>
      <c r="C26" s="22" t="inlineStr">
        <is>
          <t>EU principles visibly shape the prototype and plan. Solid for hackathon stage.</t>
        </is>
      </c>
      <c r="D26" s="45" t="n"/>
      <c r="E26" s="45" t="n"/>
      <c r="F26" s="45" t="n"/>
    </row>
    <row r="27" ht="25.5" customHeight="1" s="44">
      <c r="A27" s="29" t="inlineStr">
        <is>
          <t>3.0 - 4.0</t>
        </is>
      </c>
      <c r="B27" s="15" t="inlineStr">
        <is>
          <t>EU-ready (for stage)</t>
        </is>
      </c>
      <c r="C27" s="22" t="inlineStr">
        <is>
          <t>Integrated and evidenced - strong candidate on EU compliance criteria for accelerator selection.</t>
        </is>
      </c>
      <c r="D27" s="45" t="n"/>
      <c r="E27" s="45" t="n"/>
      <c r="F27" s="45" t="n"/>
    </row>
    <row r="28" ht="15.75" customHeight="1" s="44"/>
    <row r="29" ht="15" customHeight="1" s="44">
      <c r="A29" s="7" t="n"/>
    </row>
    <row r="30" ht="30" customHeight="1" s="44">
      <c r="A30" s="9" t="n"/>
    </row>
    <row r="31" ht="30" customHeight="1" s="44">
      <c r="A31" s="9" t="n"/>
    </row>
    <row r="32" ht="30" customHeight="1" s="44">
      <c r="A32" s="9" t="n"/>
    </row>
    <row r="33" ht="30" customHeight="1" s="44">
      <c r="A33" s="9" t="n"/>
    </row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7">
    <mergeCell ref="C17:F17"/>
    <mergeCell ref="C23:F23"/>
    <mergeCell ref="C19:F19"/>
    <mergeCell ref="A2:F2"/>
    <mergeCell ref="C18:F18"/>
    <mergeCell ref="A33:F33"/>
    <mergeCell ref="A32:F32"/>
    <mergeCell ref="A8:F8"/>
    <mergeCell ref="A22:F22"/>
    <mergeCell ref="C15:F15"/>
    <mergeCell ref="A4:F4"/>
    <mergeCell ref="C24:F24"/>
    <mergeCell ref="A29:F29"/>
    <mergeCell ref="C14:F14"/>
    <mergeCell ref="A10:F10"/>
    <mergeCell ref="A13:F13"/>
    <mergeCell ref="C20:F20"/>
    <mergeCell ref="C26:F26"/>
    <mergeCell ref="A9:F9"/>
    <mergeCell ref="A31:F31"/>
    <mergeCell ref="C16:F16"/>
    <mergeCell ref="C25:F25"/>
    <mergeCell ref="A30:F30"/>
    <mergeCell ref="A11:F11"/>
    <mergeCell ref="A1:F1"/>
    <mergeCell ref="A5:F6"/>
    <mergeCell ref="C27:F27"/>
  </mergeCells>
  <pageMargins left="0.75" right="0.75" top="1" bottom="1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44" min="1" max="1"/>
    <col width="30" customWidth="1" style="44" min="2" max="2"/>
    <col width="52" customWidth="1" style="44" min="3" max="3"/>
    <col width="10" customWidth="1" style="44" min="4" max="4"/>
    <col width="34" customWidth="1" style="44" min="5" max="5"/>
    <col width="24" customWidth="1" style="44" min="6" max="6"/>
    <col width="8.710000000000001" customWidth="1" style="44" min="7" max="26"/>
  </cols>
  <sheetData>
    <row r="1" ht="27.75" customHeight="1" s="44">
      <c r="A1" s="1" t="inlineStr">
        <is>
          <t>EU Alignment Scorecard - Team Assessment</t>
        </is>
      </c>
      <c r="B1" s="45" t="n"/>
      <c r="C1" s="45" t="n"/>
      <c r="D1" s="45" t="n"/>
      <c r="E1" s="45" t="n"/>
      <c r="F1" s="45" t="n"/>
    </row>
    <row r="2" ht="15" customHeight="1" s="44">
      <c r="A2" s="4" t="inlineStr">
        <is>
          <t>Completed jointly by mentor and team (20-30 min). Score 0-4 per criterion; N/A only where allowed. Score what exists - evidence beats claims.</t>
        </is>
      </c>
    </row>
    <row r="3"/>
    <row r="4">
      <c r="A4" s="8" t="inlineStr">
        <is>
          <t>Team name</t>
        </is>
      </c>
      <c r="B4" s="11" t="inlineStr">
        <is>
          <t>UBM</t>
        </is>
      </c>
      <c r="C4" s="45" t="n"/>
      <c r="D4" s="12" t="inlineStr">
        <is>
          <t>Challenge</t>
        </is>
      </c>
      <c r="E4" s="16" t="inlineStr">
        <is>
          <t>Smart City</t>
        </is>
      </c>
      <c r="F4" s="45" t="n"/>
    </row>
    <row r="5">
      <c r="A5" s="8" t="inlineStr">
        <is>
          <t>Primary sector</t>
        </is>
      </c>
      <c r="B5" s="11" t="inlineStr">
        <is>
          <t>Public Administration</t>
        </is>
      </c>
      <c r="C5" s="45" t="n"/>
      <c r="D5" s="12" t="inlineStr">
        <is>
          <t>TRL estimate (1-9)</t>
        </is>
      </c>
      <c r="E5" s="16" t="inlineStr">
        <is>
          <t>4-5</t>
        </is>
      </c>
      <c r="F5" s="45" t="n"/>
    </row>
    <row r="6">
      <c r="A6" s="8" t="inlineStr">
        <is>
          <t>Mentor</t>
        </is>
      </c>
      <c r="B6" s="11" t="inlineStr">
        <is>
          <t>Liviu Maftuleac</t>
        </is>
      </c>
      <c r="C6" s="45" t="n"/>
      <c r="D6" s="12" t="inlineStr">
        <is>
          <t>Date</t>
        </is>
      </c>
      <c r="E6" s="46" t="n">
        <v>46292</v>
      </c>
      <c r="F6" s="45" t="n"/>
    </row>
    <row r="7"/>
    <row r="8" ht="19.5" customHeight="1" s="44">
      <c r="A8" s="23" t="inlineStr">
        <is>
          <t>ID</t>
        </is>
      </c>
      <c r="B8" s="5" t="inlineStr">
        <is>
          <t>Criterion</t>
        </is>
      </c>
      <c r="C8" s="5" t="inlineStr">
        <is>
          <t>Question - mentor prompt</t>
        </is>
      </c>
      <c r="D8" s="23" t="inlineStr">
        <is>
          <t>Score</t>
        </is>
      </c>
      <c r="E8" s="5" t="inlineStr">
        <is>
          <t>Notes / evidence</t>
        </is>
      </c>
      <c r="F8" s="5" t="inlineStr">
        <is>
          <t>EU reference</t>
        </is>
      </c>
    </row>
    <row r="9" ht="19.5" customHeight="1" s="44">
      <c r="A9" s="10" t="inlineStr">
        <is>
          <t>A. Sustainability &amp; Green Deal alignment</t>
        </is>
      </c>
      <c r="B9" s="45" t="n"/>
      <c r="C9" s="45" t="n"/>
      <c r="D9" s="45" t="n"/>
      <c r="E9" s="45" t="n"/>
      <c r="F9" s="45" t="n"/>
    </row>
    <row r="10" ht="45.75" customHeight="1" s="44">
      <c r="A10" s="13" t="inlineStr">
        <is>
          <t>A1</t>
        </is>
      </c>
      <c r="B10" s="25" t="inlineStr">
        <is>
          <t>Green Deal problem fit</t>
        </is>
      </c>
      <c r="C10" s="18" t="inlineStr">
        <is>
          <t>Which Green Deal priority does your solution serve? Finish the sentence: “This helps the EU reach …”
e.g. cleaner energy, a circular economy, sustainable mobility, a healthier food system, biodiversity protection, and zero pollution.</t>
        </is>
      </c>
      <c r="D10" s="26" t="n">
        <v>3</v>
      </c>
      <c r="E10" s="18" t="inlineStr">
        <is>
          <t>Digital public services cut paper, printing and citizen trips to the town hall; software-only, no hardware footprint. Serves the Green Deal twin (green+digital) transition for public administration.</t>
        </is>
      </c>
      <c r="F10" s="27" t="inlineStr">
        <is>
          <t>European Green Deal; Fit for 55</t>
        </is>
      </c>
    </row>
    <row r="11" ht="33.75" customHeight="1" s="44">
      <c r="A11" s="13" t="inlineStr">
        <is>
          <t>A2</t>
        </is>
      </c>
      <c r="B11" s="25" t="inlineStr">
        <is>
          <t>Eco-design &amp; circularity</t>
        </is>
      </c>
      <c r="C11" s="18" t="inlineStr">
        <is>
          <t>Where in the lifecycle is your biggest footprint? What did you change in the design because of it?</t>
        </is>
      </c>
      <c r="D11" s="26" t="n">
        <v>3</v>
      </c>
      <c r="E11" s="18" t="inlineStr">
        <is>
          <t>Modular pipeline (ingestion -&gt; retrieval -&gt; evidence gate -&gt; LLM) lets us swap or shrink the model without rebuilding; corpus re-indexing is incremental; no proprietary lock-in.</t>
        </is>
      </c>
      <c r="F11" s="27" t="inlineStr">
        <is>
          <t>Ecodesign (ESPR); CE-marking eco-design principles</t>
        </is>
      </c>
    </row>
    <row r="12" ht="33.75" customHeight="1" s="44">
      <c r="A12" s="13" t="inlineStr">
        <is>
          <t>A3</t>
        </is>
      </c>
      <c r="B12" s="25" t="inlineStr">
        <is>
          <t>Footprint of the tech itself</t>
        </is>
      </c>
      <c r="C12" s="18" t="inlineStr">
        <is>
          <t>How heavy is your AI/data stack? Could a smaller model, edge processing or less data do the job?</t>
        </is>
      </c>
      <c r="D12" s="26" t="n">
        <v>4</v>
      </c>
      <c r="E12" s="18" t="inlineStr">
        <is>
          <t>Evidence: production model is a QLoRA fine-tuned Qwen2.5-3B (4-bit) running on one consumer GPU / laptop; speech recognition is faster-whisper 'small' on CPU. Zero cloud inference, hash embeddings instead of GPU embedders. Measured 3-8 s per answer.</t>
        </is>
      </c>
      <c r="F12" s="27" t="inlineStr">
        <is>
          <t>Green Deal twin (green + digital) transition</t>
        </is>
      </c>
    </row>
    <row r="13" ht="33.75" customHeight="1" s="44">
      <c r="A13" s="13" t="inlineStr">
        <is>
          <t>A4</t>
        </is>
      </c>
      <c r="B13" s="25" t="inlineStr">
        <is>
          <t>Do no significant harm</t>
        </is>
      </c>
      <c r="C13" s="18" t="inlineStr">
        <is>
          <t>If this scales ×1000, what breaks or pollutes? Who could be harmed environmentally?</t>
        </is>
      </c>
      <c r="D13" s="26" t="n">
        <v>4</v>
      </c>
      <c r="E13" s="18" t="inlineStr">
        <is>
          <t>Evidence: deterministic evidence gate returns NOT_FOUND when sources are missing and CONFLICT when they disagree, so scaling cannot spread hallucinated guidance; rate limiting caps compute per client; corpus is read-only public documents.</t>
        </is>
      </c>
      <c r="F13" s="27" t="inlineStr">
        <is>
          <t>EU Taxonomy - Do No Significant Harm principle</t>
        </is>
      </c>
    </row>
    <row r="14" ht="19.5" customHeight="1" s="44">
      <c r="A14" s="21" t="inlineStr">
        <is>
          <t>B. Digitalisation priorities (AI, HPC, cybersecurity)</t>
        </is>
      </c>
      <c r="B14" s="45" t="n"/>
      <c r="C14" s="45" t="n"/>
      <c r="D14" s="45" t="n"/>
      <c r="E14" s="45" t="n"/>
      <c r="F14" s="45" t="n"/>
    </row>
    <row r="15">
      <c r="A15" s="13" t="inlineStr">
        <is>
          <t>B1</t>
        </is>
      </c>
      <c r="B15" s="25" t="inlineStr">
        <is>
          <t>Digital Europe capacity fit</t>
        </is>
      </c>
      <c r="C15" s="18" t="inlineStr">
        <is>
          <t>Which strategic digital capacity does your solution use or strengthen?
Focus areas: digital capacities in AI, cybersecurity, cloud/data, advanced digital skills, wider deployment of digital technologies and support for digital transformation across the economy and public sector.</t>
        </is>
      </c>
      <c r="D15" s="26" t="n">
        <v>3</v>
      </c>
      <c r="E15" s="18" t="inlineStr">
        <is>
          <t>Public-sector digital transformation: verifiable RO/RU assistant over 35 of 40 official Chisinau sources (372 documents, 5111 passages). Reusable for any municipality by swapping the corpus.</t>
        </is>
      </c>
      <c r="F15" s="27" t="inlineStr">
        <is>
          <t>Digital Europe Programme</t>
        </is>
      </c>
    </row>
    <row r="16" ht="33.75" customHeight="1" s="44">
      <c r="A16" s="13" t="inlineStr">
        <is>
          <t>B2</t>
        </is>
      </c>
      <c r="B16" s="25" t="inlineStr">
        <is>
          <t>Trustworthy AI &amp; AI Act awareness  (N/A if no AI)</t>
        </is>
      </c>
      <c r="C16" s="18" t="inlineStr">
        <is>
          <t>Where exactly is AI in your system? Could it be high-risk (health, critical infrastructure, employment)? Who can override it?</t>
        </is>
      </c>
      <c r="D16" s="26" t="n">
        <v>4</v>
      </c>
      <c r="E16" s="18" t="inlineStr">
        <is>
          <t>Evidence: AI Act limited-risk (transparency) use case, no automated decisions. Every answer cites the exact document and verbatim passage; citations are verified deterministically (verify/recover citations); prompt-injection is rejected before the model is called; users flag answers with thumbs up/down and comments; stats screen for oversight.</t>
        </is>
      </c>
      <c r="F16" s="27" t="inlineStr">
        <is>
          <t>EU AI Act; ALTAI</t>
        </is>
      </c>
    </row>
    <row r="17" ht="33.75" customHeight="1" s="44">
      <c r="A17" s="13" t="inlineStr">
        <is>
          <t>B3</t>
        </is>
      </c>
      <c r="B17" s="25" t="inlineStr">
        <is>
          <t>Cybersecurity by design</t>
        </is>
      </c>
      <c r="C17" s="18" t="inlineStr">
        <is>
          <t>What is the worst realistic attack? What did you implement - even minimally - against it?</t>
        </is>
      </c>
      <c r="D17" s="26" t="n">
        <v>3</v>
      </c>
      <c r="E17" s="18" t="inlineStr">
        <is>
          <t>Evidence: local inference only, no data exfiltration; API rate limit (configurable, 200/min), CORS allow-list, input length/size/duration limits, passages treated as data not instructions, system prompt non-disclosure; 256 backend + 39 frontend tests in CI.</t>
        </is>
      </c>
      <c r="F17" s="27" t="inlineStr">
        <is>
          <t>NIS2 Directive; Cyber Resilience Act</t>
        </is>
      </c>
    </row>
    <row r="18">
      <c r="A18" s="13" t="inlineStr">
        <is>
          <t>B4</t>
        </is>
      </c>
      <c r="B18" s="25" t="inlineStr">
        <is>
          <t>Use of EU digital infrastructure</t>
        </is>
      </c>
      <c r="C18" s="18" t="inlineStr">
        <is>
          <t>How do you plan to get the infrastructure? From where? Where would you test this in real conditions? Which EDIH or TEF fits your case?
EDIH = support for digital adoption (462 in the official catalogue). TEF = testing and validation for emerging tech, especially AI (several across Europe, by sector: agri-food, healthcare, manufacturing, smart cities and communities).</t>
        </is>
      </c>
      <c r="D18" s="26" t="n">
        <v>3</v>
      </c>
      <c r="E18" s="18" t="inlineStr">
        <is>
          <t>Evidence: single-node, offline-capable deployment fits a Smart City TEF or municipal on-premise pilot; next step is a pilot with Primaria Chisinau's Transparency department; EDIH Moldova as support channel.</t>
        </is>
      </c>
      <c r="F18" s="27" t="inlineStr">
        <is>
          <t>EDIHs; TEFs; EuroHPC</t>
        </is>
      </c>
    </row>
    <row r="19" ht="19.5" customHeight="1" s="44">
      <c r="A19" s="24" t="inlineStr">
        <is>
          <t>C. GDPR, data protection &amp; ethics</t>
        </is>
      </c>
      <c r="B19" s="45" t="n"/>
      <c r="C19" s="45" t="n"/>
      <c r="D19" s="45" t="n"/>
      <c r="E19" s="45" t="n"/>
      <c r="F19" s="45" t="n"/>
    </row>
    <row r="20" ht="33.75" customHeight="1" s="44">
      <c r="A20" s="13" t="inlineStr">
        <is>
          <t>C1</t>
        </is>
      </c>
      <c r="B20" s="25" t="inlineStr">
        <is>
          <t>Personal data mapping &amp; minimisation</t>
        </is>
      </c>
      <c r="C20" s="18" t="inlineStr">
        <is>
          <t>What are the data you are collecting from people? What could you drop and still work?</t>
        </is>
      </c>
      <c r="D20" s="26" t="n">
        <v>4</v>
      </c>
      <c r="E20" s="18" t="inlineStr">
        <is>
          <t>Evidence: no accounts, no personal data collected; the store keeps only question text, status, timestamps and feedback without identifiers. Audio for voice input is processed in memory and discarded.</t>
        </is>
      </c>
      <c r="F20" s="27" t="inlineStr">
        <is>
          <t>GDPR Art. 5</t>
        </is>
      </c>
    </row>
    <row r="21" ht="33.75" customHeight="1" s="44">
      <c r="A21" s="13" t="inlineStr">
        <is>
          <t>C2</t>
        </is>
      </c>
      <c r="B21" s="25" t="inlineStr">
        <is>
          <t>Lawful basis &amp; consent</t>
        </is>
      </c>
      <c r="C21" s="18" t="inlineStr">
        <is>
          <t>Are you allowed to process this data? How do you plan to get the consent?</t>
        </is>
      </c>
      <c r="D21" s="26" t="n">
        <v>4</v>
      </c>
      <c r="E21" s="18" t="inlineStr">
        <is>
          <t>Evidence: only publicly available official documents are processed (public task / legitimate interest); no special-category data; no user consent needed because no personal data is stored.</t>
        </is>
      </c>
      <c r="F21" s="27" t="inlineStr">
        <is>
          <t>GDPR Art. 6 &amp; 9</t>
        </is>
      </c>
    </row>
    <row r="22" ht="33.75" customHeight="1" s="44">
      <c r="A22" s="13" t="inlineStr">
        <is>
          <t>C3</t>
        </is>
      </c>
      <c r="B22" s="25" t="inlineStr">
        <is>
          <t>Privacy by design &amp; by default</t>
        </is>
      </c>
      <c r="C22" s="18" t="inlineStr">
        <is>
          <t>How do you ensure privacy?</t>
        </is>
      </c>
      <c r="D22" s="26" t="n">
        <v>4</v>
      </c>
      <c r="E22" s="18" t="inlineStr">
        <is>
          <t>Evidence: offline-first architecture: LLM, retrieval and speech recognition all run locally; no third-party APIs; retention limited to aggregate statistics; PII-free schema enforced by tests.</t>
        </is>
      </c>
      <c r="F22" s="27" t="inlineStr">
        <is>
          <t>GDPR Art. 25</t>
        </is>
      </c>
    </row>
    <row r="23">
      <c r="A23" s="13" t="inlineStr">
        <is>
          <t>C4</t>
        </is>
      </c>
      <c r="B23" s="25" t="inlineStr">
        <is>
          <t>Experimentation ethics</t>
        </is>
      </c>
      <c r="C23" s="18" t="inlineStr">
        <is>
          <t>How do you ensure ethics in respect to GDPR and data processing?
Look for signs of strong technical/organisational safeguards: informed test users, no real sensitive data in demos, DPIA awareness for high-risk processing.</t>
        </is>
      </c>
      <c r="D23" s="26" t="n">
        <v>4</v>
      </c>
      <c r="E23" s="18" t="inlineStr">
        <is>
          <t>Evidence: demo and evaluation use only public documents and synthetic questions; golden set contains no real citizen data; no real users in experiments.</t>
        </is>
      </c>
      <c r="F23" s="27" t="inlineStr">
        <is>
          <t>GDPR Art. 35 (DPIA)</t>
        </is>
      </c>
    </row>
    <row r="24" ht="19.5" customHeight="1" s="44">
      <c r="A24" s="28" t="inlineStr">
        <is>
          <t>D. Sectoral relevance (agriculture, health, energy)   - score against the team’s primary sector</t>
        </is>
      </c>
      <c r="B24" s="45" t="n"/>
      <c r="C24" s="45" t="n"/>
      <c r="D24" s="45" t="n"/>
      <c r="E24" s="45" t="n"/>
      <c r="F24" s="45" t="n"/>
    </row>
    <row r="25" ht="33.75" customHeight="1" s="44">
      <c r="A25" s="13" t="inlineStr">
        <is>
          <t>D1</t>
        </is>
      </c>
      <c r="B25" s="25" t="inlineStr">
        <is>
          <t>Sector policy priority fit</t>
        </is>
      </c>
      <c r="C25" s="18" t="inlineStr">
        <is>
          <t>Which EU sector strategy would “claim” your solution? Which target in it do you serve?</t>
        </is>
      </c>
      <c r="D25" s="26" t="n">
        <v>3</v>
      </c>
      <c r="E25" s="18" t="inlineStr">
        <is>
          <t>New European Innovation Agenda / Digital Europe: modern, transparent public administration; aligns with e-government and citizen-service digitalisation priorities of Moldova's EU accession agenda.</t>
        </is>
      </c>
      <c r="F25" s="27" t="inlineStr">
        <is>
          <t>Sector policy maps (ToT toolkit)</t>
        </is>
      </c>
    </row>
    <row r="26" ht="33.75" customHeight="1" s="44">
      <c r="A26" s="13" t="inlineStr">
        <is>
          <t>D2</t>
        </is>
      </c>
      <c r="B26" s="25" t="inlineStr">
        <is>
          <t>Stakeholder &amp; value-chain fit</t>
        </is>
      </c>
      <c r="C26" s="18" t="inlineStr">
        <is>
          <t>Who must say “yes” for adoption: user, buyer, regulator, integrator? Which of them have you talked to?</t>
        </is>
      </c>
      <c r="D26" s="26" t="n">
        <v>3</v>
      </c>
      <c r="E26" s="18" t="inlineStr">
        <is>
          <t>Evidence: built for the challenge provider Primaria Chisinau; users are citizens (RO/RU) and front-office staff; UI validated against the designers' Figma spec; mentor feedback incorporated.</t>
        </is>
      </c>
      <c r="F26" s="27" t="n"/>
    </row>
    <row r="27" ht="33.75" customHeight="1" s="44">
      <c r="A27" s="13" t="inlineStr">
        <is>
          <t>D3</t>
        </is>
      </c>
      <c r="B27" s="25" t="inlineStr">
        <is>
          <t>Sector validation route</t>
        </is>
      </c>
      <c r="C27" s="18" t="inlineStr">
        <is>
          <t>What is the very next experiment that this sector would consider credible?</t>
        </is>
      </c>
      <c r="D27" s="26" t="n">
        <v>3</v>
      </c>
      <c r="E27" s="18" t="inlineStr">
        <is>
          <t>Evidence: next credible step is a 4-week pilot in one department (e.g. Transparency or Social services) measuring deflected routine requests and citation accuracy on real questions.</t>
        </is>
      </c>
      <c r="F27" s="27" t="n"/>
    </row>
    <row r="28" ht="33.75" customHeight="1" s="44">
      <c r="A28" s="13" t="inlineStr">
        <is>
          <t>D4</t>
        </is>
      </c>
      <c r="B28" s="25" t="inlineStr">
        <is>
          <t>Sector evidence &amp; data standards</t>
        </is>
      </c>
      <c r="C28" s="18" t="inlineStr">
        <is>
          <t>What proof will your first paying customer ask for? How will you produce it?</t>
        </is>
      </c>
      <c r="D28" s="26" t="n">
        <v>3</v>
      </c>
      <c r="E28" s="18" t="inlineStr">
        <is>
          <t>Evidence: evaluation harness reports Recall@5, Citation correctness and Status accuracy as N/M; 12 verified demo questions RO/RU plus rejection cases; metrics regenerated on every corpus rebuild.</t>
        </is>
      </c>
      <c r="F28" s="27" t="n"/>
    </row>
    <row r="29" ht="19.5" customHeight="1" s="44">
      <c r="A29" s="30" t="inlineStr">
        <is>
          <t>E. EU market scalability</t>
        </is>
      </c>
      <c r="B29" s="45" t="n"/>
      <c r="C29" s="45" t="n"/>
      <c r="D29" s="45" t="n"/>
      <c r="E29" s="45" t="n"/>
      <c r="F29" s="45" t="n"/>
    </row>
    <row r="30" ht="33.75" customHeight="1" s="44">
      <c r="A30" s="13" t="inlineStr">
        <is>
          <t>E1</t>
        </is>
      </c>
      <c r="B30" s="25" t="inlineStr">
        <is>
          <t>EU market definition</t>
        </is>
      </c>
      <c r="C30" s="18" t="inlineStr">
        <is>
          <t>Which EU country first, and why that one? How many potential customers there?</t>
        </is>
      </c>
      <c r="D30" s="26" t="n">
        <v>3</v>
      </c>
      <c r="E30" s="18" t="inlineStr">
        <is>
          <t>Evidence: first market Republic of Moldova (Chisinau + 35 municipalities), then Romania (same language, ~3,200 local administrations), then any EU municipality with a document corpus.</t>
        </is>
      </c>
      <c r="F30" s="27" t="n"/>
    </row>
    <row r="31" ht="33.75" customHeight="1" s="44">
      <c r="A31" s="13" t="inlineStr">
        <is>
          <t>E2</t>
        </is>
      </c>
      <c r="B31" s="25" t="inlineStr">
        <is>
          <t>EU value proposition &amp; competition</t>
        </is>
      </c>
      <c r="C31" s="18" t="inlineStr">
        <is>
          <t>Name three competitors already selling in the EU. Why would their customer switch to you?</t>
        </is>
      </c>
      <c r="D31" s="26" t="n">
        <v>3</v>
      </c>
      <c r="E31" s="18" t="inlineStr">
        <is>
          <t>Evidence: unlike generic chatbot wrappers, we guarantee verifiable evidence (verbatim citations or explicit NOT_FOUND), bilingual RO/RU, offline operation and predictable cost with no per-token fees.</t>
        </is>
      </c>
      <c r="F31" s="27" t="n"/>
    </row>
    <row r="32" ht="33.75" customHeight="1" s="44">
      <c r="A32" s="13" t="inlineStr">
        <is>
          <t>E3</t>
        </is>
      </c>
      <c r="B32" s="25" t="inlineStr">
        <is>
          <t>Business model for EU scale</t>
        </is>
      </c>
      <c r="C32" s="18" t="inlineStr">
        <is>
          <t>Who pays? What changes from country to country?</t>
        </is>
      </c>
      <c r="D32" s="26" t="n">
        <v>3</v>
      </c>
      <c r="E32" s="18" t="inlineStr">
        <is>
          <t>Evidence: on-premise / self-hosted licence per municipality plus onboarding of the corpus; what scales for free is the pipeline and UI, what is local is the corpus, language dictionary and legal review.</t>
        </is>
      </c>
      <c r="F32" s="27" t="inlineStr">
        <is>
          <t>EU single market</t>
        </is>
      </c>
    </row>
    <row r="33" ht="33.75" customHeight="1" s="44">
      <c r="A33" s="13" t="inlineStr">
        <is>
          <t>E4</t>
        </is>
      </c>
      <c r="B33" s="25" t="inlineStr">
        <is>
          <t>Market-entry requirements &amp; costs</t>
        </is>
      </c>
      <c r="C33" s="18" t="inlineStr">
        <is>
          <t>What must be true or certified before your first EU sale? What will that cost in time and money?</t>
        </is>
      </c>
      <c r="D33" s="26" t="n">
        <v>3</v>
      </c>
      <c r="E33" s="18" t="inlineStr">
        <is>
          <t>Evidence: entry requires public-procurement compliance (Moldova/EU rules), localisation = swapping the corpus and term dictionary (2-4 weeks per municipality), AI Act transparency obligations (limited-risk, no CE marking needed for a non-decision-making assistant); estimated 1-2 person-months per country entry.</t>
        </is>
      </c>
      <c r="F33" s="27" t="inlineStr">
        <is>
          <t>CE marking; harmonised standards</t>
        </is>
      </c>
    </row>
    <row r="34" ht="57" customHeight="1" s="44">
      <c r="A34" s="13" t="inlineStr">
        <is>
          <t>E5</t>
        </is>
      </c>
      <c r="B34" s="25" t="inlineStr">
        <is>
          <t>EU funding &amp; growth pathway</t>
        </is>
      </c>
      <c r="C34" s="18" t="inlineStr">
        <is>
          <t>Given your TRL, which EU instrument fits next? What would you apply for within 12 months?
EIC Pathfinder (TRL 1-4), EIC Transition (TRL 4-6), EIC Accelerator (TRL 6+), Horizon Europe, Digital Europe, EDIH services.</t>
        </is>
      </c>
      <c r="D34" s="26" t="n">
        <v>3</v>
      </c>
      <c r="E34" s="18" t="inlineStr">
        <is>
          <t>Evidence: TRL 4-5 now; Digital Europe Programme for public-sector deployment within 12 months; EIC Accelerator later for scaling the verifiable-RAG core; Horizon Europe association of Moldova enables consortium participation.</t>
        </is>
      </c>
      <c r="F34" s="27" t="inlineStr">
        <is>
          <t>EIC; Horizon Europe; Digital Europe</t>
        </is>
      </c>
    </row>
    <row r="35" ht="15.75" customHeight="1" s="44"/>
    <row r="36" ht="19.5" customHeight="1" s="44">
      <c r="A36" s="31" t="inlineStr">
        <is>
          <t>Results (automatic)</t>
        </is>
      </c>
      <c r="B36" s="45" t="n"/>
      <c r="C36" s="45" t="n"/>
      <c r="D36" s="45" t="n"/>
      <c r="E36" s="45" t="n"/>
      <c r="F36" s="45" t="n"/>
    </row>
    <row r="37">
      <c r="A37" s="32" t="inlineStr">
        <is>
          <t>A. Sustainability &amp; Green Deal alignment</t>
        </is>
      </c>
      <c r="B37" s="45" t="n"/>
      <c r="C37" s="33">
        <f>IFERROR(ROUND(AVERAGE(D10:D13),2),"")</f>
        <v/>
      </c>
      <c r="D37" s="34" t="n"/>
      <c r="E37" s="45" t="n"/>
      <c r="F37" s="45" t="n"/>
    </row>
    <row r="38">
      <c r="A38" s="35" t="inlineStr">
        <is>
          <t>B. Digitalisation priorities (AI, HPC, cybersecurity)</t>
        </is>
      </c>
      <c r="B38" s="45" t="n"/>
      <c r="C38" s="33">
        <f>IFERROR(ROUND(AVERAGE(D15:D18),2),"")</f>
        <v/>
      </c>
      <c r="D38" s="34" t="n"/>
      <c r="E38" s="45" t="n"/>
      <c r="F38" s="45" t="n"/>
    </row>
    <row r="39">
      <c r="A39" s="36" t="inlineStr">
        <is>
          <t>C. GDPR, data protection &amp; ethics</t>
        </is>
      </c>
      <c r="B39" s="45" t="n"/>
      <c r="C39" s="33">
        <f>IFERROR(ROUND(AVERAGE(D20:D23),2),"")</f>
        <v/>
      </c>
      <c r="D39" s="34" t="n"/>
      <c r="E39" s="45" t="n"/>
      <c r="F39" s="45" t="n"/>
    </row>
    <row r="40">
      <c r="A40" s="37" t="inlineStr">
        <is>
          <t>D. Sectoral relevance (agriculture, health, energy)</t>
        </is>
      </c>
      <c r="B40" s="45" t="n"/>
      <c r="C40" s="33">
        <f>IFERROR(ROUND(AVERAGE(D25:D28),2),"")</f>
        <v/>
      </c>
      <c r="D40" s="34" t="n"/>
      <c r="E40" s="45" t="n"/>
      <c r="F40" s="45" t="n"/>
    </row>
    <row r="41">
      <c r="A41" s="38" t="inlineStr">
        <is>
          <t>E. EU market scalability</t>
        </is>
      </c>
      <c r="B41" s="45" t="n"/>
      <c r="C41" s="33">
        <f>IFERROR(ROUND(AVERAGE(D30:D34),2),"")</f>
        <v/>
      </c>
      <c r="D41" s="34" t="n"/>
      <c r="E41" s="45" t="n"/>
      <c r="F41" s="45" t="n"/>
    </row>
    <row r="42" ht="19.5" customHeight="1" s="44">
      <c r="A42" s="39" t="inlineStr">
        <is>
          <t>EU ALIGNMENT INDEX (0-4)</t>
        </is>
      </c>
      <c r="B42" s="45" t="n"/>
      <c r="C42" s="40">
        <f>IFERROR(ROUND(AVERAGE(C37:C41),2),"")</f>
        <v/>
      </c>
      <c r="D42" s="41" t="n"/>
      <c r="E42" s="45" t="n"/>
      <c r="F42" s="45" t="n"/>
    </row>
    <row r="43" ht="18" customHeight="1" s="44">
      <c r="A43" s="42" t="inlineStr">
        <is>
          <t>Alignment band</t>
        </is>
      </c>
      <c r="B43" s="45" t="n"/>
      <c r="C43" s="43">
        <f>IF(ISNUMBER(C42),IF(C42&lt;1,"Early awareness",IF(C42&lt;2,"Emerging alignment",IF(C42&lt;3,"Aligned","EU-ready (for stage)"))),"")</f>
        <v/>
      </c>
      <c r="D43" s="45" t="n"/>
      <c r="E43" s="45" t="n"/>
      <c r="F43" s="45" t="n"/>
    </row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8">
    <mergeCell ref="D41:F41"/>
    <mergeCell ref="E5:F5"/>
    <mergeCell ref="A2:F2"/>
    <mergeCell ref="E4:F4"/>
    <mergeCell ref="D37:F37"/>
    <mergeCell ref="A14:F14"/>
    <mergeCell ref="A41:B41"/>
    <mergeCell ref="A37:B37"/>
    <mergeCell ref="D39:F39"/>
    <mergeCell ref="A29:F29"/>
    <mergeCell ref="D42:F42"/>
    <mergeCell ref="D38:F38"/>
    <mergeCell ref="E6:F6"/>
    <mergeCell ref="A19:F19"/>
    <mergeCell ref="A9:F9"/>
    <mergeCell ref="A42:B42"/>
    <mergeCell ref="A24:F24"/>
    <mergeCell ref="B6:C6"/>
    <mergeCell ref="A38:B38"/>
    <mergeCell ref="A36:F36"/>
    <mergeCell ref="A43:B43"/>
    <mergeCell ref="B5:C5"/>
    <mergeCell ref="A1:F1"/>
    <mergeCell ref="C43:F43"/>
    <mergeCell ref="D40:F40"/>
    <mergeCell ref="A40:B40"/>
    <mergeCell ref="B4:C4"/>
    <mergeCell ref="A39:B39"/>
  </mergeCells>
  <dataValidations count="4">
    <dataValidation sqref="D10:D13 D15 D17:D18 D20:D23 D25:D28 D30:D34" showDropDown="0" showInputMessage="0" showErrorMessage="0" allowBlank="1" type="list">
      <formula1>"0,1,2,3,4,not applicable"</formula1>
    </dataValidation>
    <dataValidation sqref="E5" showDropDown="0" showInputMessage="0" showErrorMessage="0" allowBlank="1" type="list">
      <formula1>"1 - Basic principles observed,2 - Technology concept formulated,3 - Experimental proof of concept,4 - Validated in lab,5 - Validated in relevant environment,6 - Demonstrated in relevant environment,7 - Prototype demo in operational environment,8 - System "&amp;"complete and qualified,9 - Proven in operational environment"</formula1>
    </dataValidation>
    <dataValidation sqref="D16" showDropDown="0" showInputMessage="0" showErrorMessage="0" allowBlank="1" type="list">
      <formula1>"0,1,2,3,4,N/A"</formula1>
    </dataValidation>
    <dataValidation sqref="B5" showDropDown="0" showInputMessage="0" showErrorMessage="0" allowBlank="1" type="list">
      <formula1>"AgriTech,HealthTech,EnergyTech,Cross-sector / Digital,Other"</formula1>
    </dataValidation>
  </dataValidations>
  <pageMargins left="0.75" right="0.75" top="1" bottom="1" header="0" footer="0"/>
  <pageSetup orientation="portrait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" customWidth="1" style="44" min="1" max="1"/>
    <col width="26" customWidth="1" style="44" min="2" max="2"/>
    <col width="46" customWidth="1" style="44" min="3" max="5"/>
    <col width="28" customWidth="1" style="44" min="6" max="6"/>
    <col width="8.710000000000001" customWidth="1" style="44" min="7" max="26"/>
  </cols>
  <sheetData>
    <row r="1" ht="27.75" customHeight="1" s="44">
      <c r="A1" s="1" t="inlineStr">
        <is>
          <t>Criteria Guide - full rubric for mentors</t>
        </is>
      </c>
      <c r="B1" s="45" t="n"/>
      <c r="C1" s="45" t="n"/>
      <c r="D1" s="45" t="n"/>
      <c r="E1" s="45" t="n"/>
      <c r="F1" s="45" t="n"/>
    </row>
    <row r="2" ht="15" customHeight="1" s="44">
      <c r="A2" s="4" t="inlineStr">
        <is>
          <t>Scale for every criterion: 0 not considered · 1 aware · 2 considered · 3 integrated · 4 evidenced. “What good looks like” describes level 3-4.</t>
        </is>
      </c>
    </row>
    <row r="4" ht="19.5" customHeight="1" s="44">
      <c r="A4" s="5" t="inlineStr">
        <is>
          <t>ID</t>
        </is>
      </c>
      <c r="B4" s="5" t="inlineStr">
        <is>
          <t>Criterion</t>
        </is>
      </c>
      <c r="C4" s="5" t="inlineStr">
        <is>
          <t>What it means</t>
        </is>
      </c>
      <c r="D4" s="5" t="inlineStr">
        <is>
          <t>Question &amp; hints</t>
        </is>
      </c>
      <c r="E4" s="5" t="inlineStr">
        <is>
          <t>What good looks like (3-4)</t>
        </is>
      </c>
      <c r="F4" s="5" t="inlineStr">
        <is>
          <t>EU reference</t>
        </is>
      </c>
    </row>
    <row r="5" ht="19.5" customHeight="1" s="44">
      <c r="A5" s="10" t="inlineStr">
        <is>
          <t>A. Sustainability &amp; Green Deal alignment</t>
        </is>
      </c>
      <c r="B5" s="45" t="n"/>
      <c r="C5" s="45" t="n"/>
      <c r="D5" s="45" t="n"/>
      <c r="E5" s="45" t="n"/>
      <c r="F5" s="45" t="n"/>
    </row>
    <row r="6" ht="69.75" customHeight="1" s="44">
      <c r="A6" s="13" t="inlineStr">
        <is>
          <t>A1</t>
        </is>
      </c>
      <c r="B6" s="15" t="inlineStr">
        <is>
          <t>Green Deal problem fit</t>
        </is>
      </c>
      <c r="C6" s="18" t="inlineStr">
        <is>
          <t>The problem addressed clearly links to a European Green Deal priority (climate neutrality, circular economy, zero pollution, biodiversity, resource efficiency, sustainable food).</t>
        </is>
      </c>
      <c r="D6" s="18" t="inlineStr">
        <is>
          <t>Which Green Deal priority does your solution serve? Finish the sentence: “This helps the EU reach …”
Hint: e.g. cleaner energy, a circular economy, sustainable mobility, a healthier food system, biodiversity protection, and zero pollution.</t>
        </is>
      </c>
      <c r="E6" s="18" t="inlineStr">
        <is>
          <t>Team names the specific priority and the link is visible in how the prototype is framed and pitched, not just claimed.</t>
        </is>
      </c>
      <c r="F6" s="18" t="inlineStr">
        <is>
          <t>European Green Deal; Fit for 55</t>
        </is>
      </c>
    </row>
    <row r="7" ht="57.75" customHeight="1" s="44">
      <c r="A7" s="13" t="inlineStr">
        <is>
          <t>A2</t>
        </is>
      </c>
      <c r="B7" s="15" t="inlineStr">
        <is>
          <t>Eco-design &amp; circularity</t>
        </is>
      </c>
      <c r="C7" s="18" t="inlineStr">
        <is>
          <t>Lifecycle thinking is applied to the solution: materials, energy in use, durability, repair, reuse, end-of-life.</t>
        </is>
      </c>
      <c r="D7" s="18" t="inlineStr">
        <is>
          <t>Where in the lifecycle is your biggest footprint? What did you change in the design because of it?</t>
        </is>
      </c>
      <c r="E7" s="18" t="inlineStr">
        <is>
          <t>At least one concrete design choice made for circularity/efficiency; hardware teams can sketch the lifecycle.</t>
        </is>
      </c>
      <c r="F7" s="18" t="inlineStr">
        <is>
          <t>Ecodesign (ESPR); CE-marking eco-design principles</t>
        </is>
      </c>
    </row>
    <row r="8" ht="57.75" customHeight="1" s="44">
      <c r="A8" s="13" t="inlineStr">
        <is>
          <t>A3</t>
        </is>
      </c>
      <c r="B8" s="15" t="inlineStr">
        <is>
          <t>Footprint of the tech itself</t>
        </is>
      </c>
      <c r="C8" s="18" t="inlineStr">
        <is>
          <t>The solution’s own footprint (AI/compute energy, cloud, data storage, devices, logistics) is considered and minimised.</t>
        </is>
      </c>
      <c r="D8" s="18" t="inlineStr">
        <is>
          <t>How heavy is your AI/data stack? Could a smaller model, edge processing or less data do the job?</t>
        </is>
      </c>
      <c r="E8" s="18" t="inlineStr">
        <is>
          <t>Team states the main footprint driver and applies at least one mitigation (model size, hosting, retention).</t>
        </is>
      </c>
      <c r="F8" s="18" t="inlineStr">
        <is>
          <t>Green Deal twin (green + digital) transition</t>
        </is>
      </c>
    </row>
    <row r="9" ht="57.75" customHeight="1" s="44">
      <c r="A9" s="13" t="inlineStr">
        <is>
          <t>A4</t>
        </is>
      </c>
      <c r="B9" s="15" t="inlineStr">
        <is>
          <t>Do no significant harm</t>
        </is>
      </c>
      <c r="C9" s="18" t="inlineStr">
        <is>
          <t>Possible negative environmental side-effects (pollution shift, waste, rebound effects) are identified and mitigated.</t>
        </is>
      </c>
      <c r="D9" s="18" t="inlineStr">
        <is>
          <t>If this scales ×1000, what breaks or pollutes? Who could be harmed environmentally?</t>
        </is>
      </c>
      <c r="E9" s="18" t="inlineStr">
        <is>
          <t>Honest risk list with at least one mitigation; no obvious harm ignored.</t>
        </is>
      </c>
      <c r="F9" s="18" t="inlineStr">
        <is>
          <t>EU Taxonomy - Do No Significant Harm principle</t>
        </is>
      </c>
    </row>
    <row r="10" ht="19.5" customHeight="1" s="44">
      <c r="A10" s="21" t="inlineStr">
        <is>
          <t>B. Digitalisation priorities (AI, HPC, cybersecurity)</t>
        </is>
      </c>
      <c r="B10" s="45" t="n"/>
      <c r="C10" s="45" t="n"/>
      <c r="D10" s="45" t="n"/>
      <c r="E10" s="45" t="n"/>
      <c r="F10" s="45" t="n"/>
    </row>
    <row r="11" ht="69.75" customHeight="1" s="44">
      <c r="A11" s="13" t="inlineStr">
        <is>
          <t>B1</t>
        </is>
      </c>
      <c r="B11" s="15" t="inlineStr">
        <is>
          <t>Digital Europe capacity fit</t>
        </is>
      </c>
      <c r="C11" s="18" t="inlineStr">
        <is>
          <t>The solution clearly maps to at least one strategic Digital Europe capacity.</t>
        </is>
      </c>
      <c r="D11" s="18" t="inlineStr">
        <is>
          <t>Which strategic digital capacity does your solution use or strengthen?
Hint: Focus areas: digital capacities in AI, cybersecurity, cloud/data, advanced digital skills, wider deployment of digital technologies and support for digital transformation across the economy and public sector.</t>
        </is>
      </c>
      <c r="E11" s="18" t="inlineStr">
        <is>
          <t>Mapping is explicit and shapes the roadmap (e.g. planned use of EU AI or HPC resources).</t>
        </is>
      </c>
      <c r="F11" s="18" t="inlineStr">
        <is>
          <t>Digital Europe Programme</t>
        </is>
      </c>
    </row>
    <row r="12" ht="57.75" customHeight="1" s="44">
      <c r="A12" s="13" t="inlineStr">
        <is>
          <t>B2</t>
        </is>
      </c>
      <c r="B12" s="15" t="inlineStr">
        <is>
          <t>Trustworthy AI &amp; AI Act awareness (N/A if no AI)</t>
        </is>
      </c>
      <c r="C12" s="18" t="inlineStr">
        <is>
          <t>AI use is defined; the likely AI Act risk class is estimated; human oversight, transparency and bias risks are addressed.</t>
        </is>
      </c>
      <c r="D12" s="18" t="inlineStr">
        <is>
          <t>Where exactly is AI in your system? Could it be high-risk (health, critical infrastructure, employment)? Who can override it?</t>
        </is>
      </c>
      <c r="E12" s="18" t="inlineStr">
        <is>
          <t>Correct rough risk classification plus at least one concrete safeguard implemented in the prototype.</t>
        </is>
      </c>
      <c r="F12" s="18" t="inlineStr">
        <is>
          <t>EU AI Act; ALTAI</t>
        </is>
      </c>
    </row>
    <row r="13" ht="57.75" customHeight="1" s="44">
      <c r="A13" s="13" t="inlineStr">
        <is>
          <t>B3</t>
        </is>
      </c>
      <c r="B13" s="15" t="inlineStr">
        <is>
          <t>Cybersecurity by design</t>
        </is>
      </c>
      <c r="C13" s="18" t="inlineStr">
        <is>
          <t>Main threats are identified and basic protections exist in the prototype (authentication, encryption, secure APIs, update path).</t>
        </is>
      </c>
      <c r="D13" s="18" t="inlineStr">
        <is>
          <t>What is the worst realistic attack? What did you implement - even minimally - against it?</t>
        </is>
      </c>
      <c r="E13" s="18" t="inlineStr">
        <is>
          <t>Threat model articulated; 2-3 basic controls actually implemented, not promised.</t>
        </is>
      </c>
      <c r="F13" s="18" t="inlineStr">
        <is>
          <t>NIS2 Directive; Cyber Resilience Act</t>
        </is>
      </c>
    </row>
    <row r="14" ht="79.5" customHeight="1" s="44">
      <c r="A14" s="13" t="inlineStr">
        <is>
          <t>B4</t>
        </is>
      </c>
      <c r="B14" s="15" t="inlineStr">
        <is>
          <t>Use of EU digital infrastructure</t>
        </is>
      </c>
      <c r="C14" s="18" t="inlineStr">
        <is>
          <t>The team knows which EU structures could test or scale the solution (EDIHs, TEFs, EuroHPC, sandboxes) and has a realistic next step.</t>
        </is>
      </c>
      <c r="D14" s="18" t="inlineStr">
        <is>
          <t>How do you plan to get the infrastructure? From where? Where would you test this in real conditions? Which EDIH or TEF fits your case?
Hint: EDIH = support for digital adoption (462 in the official catalogue). TEF = testing and validation for emerging tech, especially AI (several across Europe, by sector: agri-food, healthcare, manufacturing, smart cities and communities).</t>
        </is>
      </c>
      <c r="E14" s="18" t="inlineStr">
        <is>
          <t>One named facility/programme plus a concrete idea of what to test there.</t>
        </is>
      </c>
      <c r="F14" s="18" t="inlineStr">
        <is>
          <t>EDIHs; TEFs; EuroHPC</t>
        </is>
      </c>
    </row>
    <row r="15" ht="19.5" customHeight="1" s="44">
      <c r="A15" s="24" t="inlineStr">
        <is>
          <t>C. GDPR, data protection &amp; ethics</t>
        </is>
      </c>
      <c r="B15" s="45" t="n"/>
      <c r="C15" s="45" t="n"/>
      <c r="D15" s="45" t="n"/>
      <c r="E15" s="45" t="n"/>
      <c r="F15" s="45" t="n"/>
    </row>
    <row r="16" ht="57.75" customHeight="1" s="44">
      <c r="A16" s="13" t="inlineStr">
        <is>
          <t>C1</t>
        </is>
      </c>
      <c r="B16" s="15" t="inlineStr">
        <is>
          <t>Personal data mapping &amp; minimisation</t>
        </is>
      </c>
      <c r="C16" s="18" t="inlineStr">
        <is>
          <t>The team knows what personal data the solution touches (including indirect: logs, sensors, images) and collects only what is needed.</t>
        </is>
      </c>
      <c r="D16" s="18" t="inlineStr">
        <is>
          <t>What are the data you are collecting from people? What could you drop and still work?</t>
        </is>
      </c>
      <c r="E16" s="18" t="inlineStr">
        <is>
          <t>Complete data inventory; at least one minimisation decision taken.</t>
        </is>
      </c>
      <c r="F16" s="18" t="inlineStr">
        <is>
          <t>GDPR Art. 5</t>
        </is>
      </c>
    </row>
    <row r="17" ht="57.75" customHeight="1" s="44">
      <c r="A17" s="13" t="inlineStr">
        <is>
          <t>C2</t>
        </is>
      </c>
      <c r="B17" s="15" t="inlineStr">
        <is>
          <t>Lawful basis &amp; consent</t>
        </is>
      </c>
      <c r="C17" s="18" t="inlineStr">
        <is>
          <t>For each purpose a lawful basis is identified; consent flows are sketched where needed; special categories (health!) are flagged.</t>
        </is>
      </c>
      <c r="D17" s="18" t="inlineStr">
        <is>
          <t>Are you allowed to process this data? How do you plan to get the consent?</t>
        </is>
      </c>
      <c r="E17" s="18" t="inlineStr">
        <is>
          <t>Correct basis per purpose; special-category data recognised with stricter handling.</t>
        </is>
      </c>
      <c r="F17" s="18" t="inlineStr">
        <is>
          <t>GDPR Art. 6 &amp; 9</t>
        </is>
      </c>
    </row>
    <row r="18" ht="57.75" customHeight="1" s="44">
      <c r="A18" s="13" t="inlineStr">
        <is>
          <t>C3</t>
        </is>
      </c>
      <c r="B18" s="15" t="inlineStr">
        <is>
          <t>Privacy by design &amp; by default</t>
        </is>
      </c>
      <c r="C18" s="18" t="inlineStr">
        <is>
          <t>Privacy is built into the architecture: pseudonymisation/anonymisation, retention limits, access control, local/edge processing where possible.</t>
        </is>
      </c>
      <c r="D18" s="18" t="inlineStr">
        <is>
          <t>How do you ensure privacy?</t>
        </is>
      </c>
      <c r="E18" s="18" t="inlineStr">
        <is>
          <t>Two or more concrete technical choices in the prototype driven by privacy.</t>
        </is>
      </c>
      <c r="F18" s="18" t="inlineStr">
        <is>
          <t>GDPR Art. 25</t>
        </is>
      </c>
    </row>
    <row r="19" ht="69.75" customHeight="1" s="44">
      <c r="A19" s="13" t="inlineStr">
        <is>
          <t>C4</t>
        </is>
      </c>
      <c r="B19" s="15" t="inlineStr">
        <is>
          <t>Experimentation ethics</t>
        </is>
      </c>
      <c r="C19" s="18" t="inlineStr">
        <is>
          <t>Hackathon and pilot experiments are ethical: informed test users, no real sensitive data in demos, awareness of when a DPIA is needed.</t>
        </is>
      </c>
      <c r="D19" s="18" t="inlineStr">
        <is>
          <t>How do you ensure ethics in respect to GDPR and data processing?
Hint: Look for signs of strong technical/organisational safeguards: informed test users, no real sensitive data in demos, DPIA awareness for high-risk processing.</t>
        </is>
      </c>
      <c r="E19" s="18" t="inlineStr">
        <is>
          <t>Synthetic or consented data in the demo; ethical pilot plan; DPIA flagged if high-risk.</t>
        </is>
      </c>
      <c r="F19" s="18" t="inlineStr">
        <is>
          <t>GDPR Art. 35 (DPIA)</t>
        </is>
      </c>
    </row>
    <row r="20" ht="19.5" customHeight="1" s="44">
      <c r="A20" s="28" t="inlineStr">
        <is>
          <t>D. Sectoral relevance (agriculture, health, energy)   - score against the team’s primary sector; cross-sector teams use the Digital Europe frameworks</t>
        </is>
      </c>
      <c r="B20" s="45" t="n"/>
      <c r="C20" s="45" t="n"/>
      <c r="D20" s="45" t="n"/>
      <c r="E20" s="45" t="n"/>
      <c r="F20" s="45" t="n"/>
    </row>
    <row r="21" ht="57.75" customHeight="1" s="44">
      <c r="A21" s="13" t="inlineStr">
        <is>
          <t>D1</t>
        </is>
      </c>
      <c r="B21" s="15" t="inlineStr">
        <is>
          <t>Sector policy priority fit</t>
        </is>
      </c>
      <c r="C21" s="18" t="inlineStr">
        <is>
          <t>The solution addresses a named priority of the relevant EU sector framework - Agri: Farm to Fork / CAP / Soil Strategy; Health: EU Health Union / EHDS; Energy: Climate Law / Fit for 55 / REPowerEU; Cross-sector: Digital Europe / New European Innovation Agenda.</t>
        </is>
      </c>
      <c r="D21" s="18" t="inlineStr">
        <is>
          <t>Which EU sector strategy would “claim” your solution? Which target in it do you serve?</t>
        </is>
      </c>
      <c r="E21" s="18" t="inlineStr">
        <is>
          <t>Named framework and named priority, reflected in the problem framing.</t>
        </is>
      </c>
      <c r="F21" s="18" t="inlineStr">
        <is>
          <t>Sector policy maps (ToT toolkit)</t>
        </is>
      </c>
    </row>
    <row r="22" ht="57.75" customHeight="1" s="44">
      <c r="A22" s="13" t="inlineStr">
        <is>
          <t>D2</t>
        </is>
      </c>
      <c r="B22" s="15" t="inlineStr">
        <is>
          <t>Stakeholder &amp; value-chain fit</t>
        </is>
      </c>
      <c r="C22" s="18" t="inlineStr">
        <is>
          <t>The right users and gatekeepers are identified (farmers/advisors/co-ops; clinicians/labs/hospital IT; utilities/DSOs/industrial users) and at least one has been consulted.</t>
        </is>
      </c>
      <c r="D22" s="18" t="inlineStr">
        <is>
          <t>Who must say “yes” for adoption: user, buyer, regulator, integrator? Which of them have you talked to?</t>
        </is>
      </c>
      <c r="E22" s="18" t="inlineStr">
        <is>
          <t>Value chain mapped; at least one real conversation done or scheduled, with evidence.</t>
        </is>
      </c>
      <c r="F22" s="18" t="inlineStr">
        <is>
          <t>-</t>
        </is>
      </c>
    </row>
    <row r="23" ht="57.75" customHeight="1" s="44">
      <c r="A23" s="13" t="inlineStr">
        <is>
          <t>D3</t>
        </is>
      </c>
      <c r="B23" s="15" t="inlineStr">
        <is>
          <t>Sector validation route</t>
        </is>
      </c>
      <c r="C23" s="18" t="inlineStr">
        <is>
          <t>A realistic next validation step is defined: farm pilot, advisory-network trial, clinical partner, living lab, grid/utility demo, TEF/EDIH testing.</t>
        </is>
      </c>
      <c r="D23" s="18" t="inlineStr">
        <is>
          <t>What is the very next experiment that this sector would consider credible?</t>
        </is>
      </c>
      <c r="E23" s="18" t="inlineStr">
        <is>
          <t>Specific, resourced, sector-credible next step with a named type of partner.</t>
        </is>
      </c>
      <c r="F23" s="18" t="inlineStr">
        <is>
          <t>-</t>
        </is>
      </c>
    </row>
    <row r="24" ht="57.75" customHeight="1" s="44">
      <c r="A24" s="13" t="inlineStr">
        <is>
          <t>D4</t>
        </is>
      </c>
      <c r="B24" s="15" t="inlineStr">
        <is>
          <t>Sector evidence &amp; data standards</t>
        </is>
      </c>
      <c r="C24" s="18" t="inlineStr">
        <is>
          <t>The team knows what evidence the sector demands (agronomic results, clinical evidence, grid performance/safety) and the prototype starts generating it.</t>
        </is>
      </c>
      <c r="D24" s="18" t="inlineStr">
        <is>
          <t>What proof will your first paying customer ask for? How will you produce it?</t>
        </is>
      </c>
      <c r="E24" s="18" t="inlineStr">
        <is>
          <t>Evidence requirements named; data collection designed into the prototype.</t>
        </is>
      </c>
      <c r="F24" s="18" t="inlineStr">
        <is>
          <t>-</t>
        </is>
      </c>
    </row>
    <row r="25" ht="19.5" customHeight="1" s="44">
      <c r="A25" s="30" t="inlineStr">
        <is>
          <t>E. EU market scalability</t>
        </is>
      </c>
      <c r="B25" s="45" t="n"/>
      <c r="C25" s="45" t="n"/>
      <c r="D25" s="45" t="n"/>
      <c r="E25" s="45" t="n"/>
      <c r="F25" s="45" t="n"/>
    </row>
    <row r="26" ht="57.75" customHeight="1" s="44">
      <c r="A26" s="13" t="inlineStr">
        <is>
          <t>E1</t>
        </is>
      </c>
      <c r="B26" s="15" t="inlineStr">
        <is>
          <t>EU market definition</t>
        </is>
      </c>
      <c r="C26" s="18" t="inlineStr">
        <is>
          <t>A target EU customer segment and a realistic first-entry market are identified, with a rough size estimate.</t>
        </is>
      </c>
      <c r="D26" s="18" t="inlineStr">
        <is>
          <t>Which EU country first, and why that one? How many potential customers there?</t>
        </is>
      </c>
      <c r="E26" s="18" t="inlineStr">
        <is>
          <t>Named entry market with reasoning (regulation, partners, language, competition) and a rough market size.</t>
        </is>
      </c>
      <c r="F26" s="18" t="inlineStr">
        <is>
          <t>-</t>
        </is>
      </c>
    </row>
    <row r="27" ht="57.75" customHeight="1" s="44">
      <c r="A27" s="13" t="inlineStr">
        <is>
          <t>E2</t>
        </is>
      </c>
      <c r="B27" s="15" t="inlineStr">
        <is>
          <t>EU value proposition &amp; competition</t>
        </is>
      </c>
      <c r="C27" s="18" t="inlineStr">
        <is>
          <t>The team knows the main competing solutions in the EU and can state why theirs wins for EU customers.</t>
        </is>
      </c>
      <c r="D27" s="18" t="inlineStr">
        <is>
          <t>Name three competitors already selling in the EU. Why would their customer switch to you?</t>
        </is>
      </c>
      <c r="E27" s="18" t="inlineStr">
        <is>
          <t>Competitor list is real (never “no competitors”); differentiation is specific.</t>
        </is>
      </c>
      <c r="F27" s="18" t="inlineStr">
        <is>
          <t>-</t>
        </is>
      </c>
    </row>
    <row r="28" ht="57.75" customHeight="1" s="44">
      <c r="A28" s="13" t="inlineStr">
        <is>
          <t>E3</t>
        </is>
      </c>
      <c r="B28" s="15" t="inlineStr">
        <is>
          <t>Business model for EU scale</t>
        </is>
      </c>
      <c r="C28" s="18" t="inlineStr">
        <is>
          <t>Revenue model, pricing and channels are plausible for EU customers and exploit the single market (one product, many countries).</t>
        </is>
      </c>
      <c r="D28" s="18" t="inlineStr">
        <is>
          <t>Who pays? What changes from country to country?</t>
        </is>
      </c>
      <c r="E28" s="18" t="inlineStr">
        <is>
          <t>Coherent model; team can explain what scales for free in the single market and what does not (language, integration, regulation).</t>
        </is>
      </c>
      <c r="F28" s="18" t="inlineStr">
        <is>
          <t>EU single market</t>
        </is>
      </c>
    </row>
    <row r="29" ht="57.75" customHeight="1" s="44">
      <c r="A29" s="13" t="inlineStr">
        <is>
          <t>E4</t>
        </is>
      </c>
      <c r="B29" s="15" t="inlineStr">
        <is>
          <t>Market-entry requirements &amp; costs</t>
        </is>
      </c>
      <c r="C29" s="18" t="inlineStr">
        <is>
          <t>Certification, standards, CE marking, localisation and compliance costs for EU entry are understood and roughly estimated.</t>
        </is>
      </c>
      <c r="D29" s="18" t="inlineStr">
        <is>
          <t>What must be true or certified before your first EU sale? What will that cost in time and money?</t>
        </is>
      </c>
      <c r="E29" s="18" t="inlineStr">
        <is>
          <t>Entry requirements listed with rough effort, reflected in the roadmap.</t>
        </is>
      </c>
      <c r="F29" s="18" t="inlineStr">
        <is>
          <t>CE marking; harmonised standards</t>
        </is>
      </c>
    </row>
    <row r="30" ht="69.75" customHeight="1" s="44">
      <c r="A30" s="13" t="inlineStr">
        <is>
          <t>E5</t>
        </is>
      </c>
      <c r="B30" s="15" t="inlineStr">
        <is>
          <t>EU funding &amp; growth pathway</t>
        </is>
      </c>
      <c r="C30" s="18" t="inlineStr">
        <is>
          <t>The team can name realistic next EU instruments for their stage and how they would use them.</t>
        </is>
      </c>
      <c r="D30" s="18" t="inlineStr">
        <is>
          <t>Given your TRL, which EU instrument fits next? What would you apply for within 12 months?
EIC Pathfinder (TRL 1-4), EIC Transition (TRL 4-6), EIC Accelerator (TRL 6+), Horizon Europe, Digital Europe, EDIH services.</t>
        </is>
      </c>
      <c r="E30" s="18" t="inlineStr">
        <is>
          <t>Instrument matched to the team’s actual TRL/stage; concrete 12-month funding or growth step.</t>
        </is>
      </c>
      <c r="F30" s="18" t="inlineStr">
        <is>
          <t>EIC; Horizon Europe; Digital Europe</t>
        </is>
      </c>
    </row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7">
    <mergeCell ref="A2:F2"/>
    <mergeCell ref="A10:F10"/>
    <mergeCell ref="A1:F1"/>
    <mergeCell ref="A5:F5"/>
    <mergeCell ref="A20:F20"/>
    <mergeCell ref="A15:F15"/>
    <mergeCell ref="A25:F25"/>
  </mergeCells>
  <pageMargins left="0.75" right="0.75" top="1" bottom="1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2026-07-06T12:55:57Z</dcterms:created>
  <dcterms:modified xsi:type="dcterms:W3CDTF">2026-09-27T11:50:56Z</dcterms:modified>
</cp:coreProperties>
</file>